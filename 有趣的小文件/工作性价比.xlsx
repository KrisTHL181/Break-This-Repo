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Victor\Desktop\"/>
    </mc:Choice>
  </mc:AlternateContent>
  <xr:revisionPtr revIDLastSave="0" documentId="13_ncr:1_{65B75AB0-9CEF-43D5-947F-9353D5EFAE3E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空表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  <c r="C6" i="4" s="1"/>
  <c r="C4" i="4"/>
</calcChain>
</file>

<file path=xl/sharedStrings.xml><?xml version="1.0" encoding="utf-8"?>
<sst xmlns="http://schemas.openxmlformats.org/spreadsheetml/2006/main" count="45" uniqueCount="43">
  <si>
    <t>为什么时薪30是标准</t>
  </si>
  <si>
    <t>评价 (只看时薪)</t>
  </si>
  <si>
    <t>每日参考工时</t>
  </si>
  <si>
    <t>蓝色框自动的不要填，下面绿色的可填</t>
  </si>
  <si>
    <t>综合工资</t>
  </si>
  <si>
    <t>综合时薪</t>
  </si>
  <si>
    <t>备注</t>
  </si>
  <si>
    <t>计算过程</t>
  </si>
  <si>
    <t>通勤时长</t>
  </si>
  <si>
    <t>超出半小时的通勤时长，折算出来一半加入工作时长。
上下班花费从工资减去</t>
  </si>
  <si>
    <t>摸鱼时长</t>
  </si>
  <si>
    <t>不干活+吃饭+午休超出1小时，
折算出来一半从工作时长减去</t>
  </si>
  <si>
    <t>每天工作时长</t>
  </si>
  <si>
    <t>上班时间-下班时间
会议和临时事务也算</t>
  </si>
  <si>
    <t>每月出勤天数</t>
  </si>
  <si>
    <t>无特殊要求，把年假算进去</t>
  </si>
  <si>
    <t>平均月薪酬（到手）</t>
  </si>
  <si>
    <t>到手薪酬，1X薪、奖金均算在内</t>
  </si>
  <si>
    <t>吃</t>
  </si>
  <si>
    <t xml:space="preserve">偏远没有选择+吃的差 = 负500
    不包 = 0
  免费但吃的差 = 300
吃的一般要钱但比外面便宜 = 按差额的一半折算
每天只包一顿或两顿但选择多 = 按差额的全部折算
    免费而且吃得好 = 800
</t>
  </si>
  <si>
    <t>住</t>
  </si>
  <si>
    <t>偏远没有选择+住的差 = 负500
    不包 = 0
单人间 = 1000
除自己外每多一人 = 减少200 (最低0)
 包水电+150，包网络+20，包生活用品+100，有费用减去</t>
  </si>
  <si>
    <t>五险一金</t>
  </si>
  <si>
    <t>工作环境系数</t>
  </si>
  <si>
    <t>正常工作环境 = 0
    较自由或可以居家办公 = 1000
常常伴有危害较大的职业病 = 负1000
    常常伴有高危作业和职业病 = 负2000
生命危险极高工作(如水鬼) = 怎么都是亏的</t>
  </si>
  <si>
    <t>异性环境系数</t>
  </si>
  <si>
    <t>没有 = 负500
    不多不少 = 0
    很多 = 500
没兴趣默认不多不少</t>
  </si>
  <si>
    <t>同事环境系数</t>
  </si>
  <si>
    <t>SB很多 = 负200
    普通很多 = 0
    优秀很多 = 200</t>
  </si>
  <si>
    <t>工作地区系数</t>
  </si>
  <si>
    <t>偏僻地区或经常出差 = 负1500
    工厂户外 = 负500
    普通 = 0
    体制内 = 1000</t>
  </si>
  <si>
    <t>职业资格系数</t>
  </si>
  <si>
    <t>无要求、二级 = 0
    建造造价监理 = 负500
    建筑岩土结构 = 负1000
    主任医师、教授 = 负1500</t>
  </si>
  <si>
    <t>学历系数</t>
  </si>
  <si>
    <t>专科以下 = 200
专科及以下 = 0
    普通本科 = 负1000
    高级本科 = 负2000
    普通硕士 = 负4000
    高级硕士 = 负6000
    普通博士 = 负8000
    高级博士 = 负10000
说明：为什么负因为这表是给专科看的，这样好对比</t>
  </si>
  <si>
    <t>外语能力系数</t>
  </si>
  <si>
    <t>是否8:30前上班</t>
  </si>
  <si>
    <t>是 = 负200
    否 = 0</t>
  </si>
  <si>
    <t>低于20木牛流马，低于25纯牛马，低于30牛马，30-40普通人，40以上人上人，50以上很爽，60以上爽飞</t>
  </si>
  <si>
    <t>一线标准</t>
  </si>
  <si>
    <t>仅工作中下需要用到外语的填，前提你会
仅仅日常沟通与应用 = 负1000
精通任意一门外语且经常用专业名词外语沟通 = 负3000</t>
  </si>
  <si>
    <t>时薪30=五天八小时月薪5280，
无五险一金也不管你吃住的，
这种工作在大城市不难找，但为什么工作时间长了，反而时薪变低了？加班不应该工资更高吗？</t>
    <phoneticPr fontId="1" type="noConversion"/>
  </si>
  <si>
    <t>无 = 0
    五险没一金 = 负100
   五险一金 = 每月个人+公司缴存的公积金-100
每多一险+50，多一金+100
说明：五险里面养老交的比较没用，对年轻人比较负面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</si>
</sst>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Microsoft YaHei"/>
    </font>
    <font>
      <sz val="9"/>
      <name val="宋体"/>
      <family val="3"/>
      <charset val="134"/>
    </font>
    <font>
      <sz val="11"/>
      <name val="黑体"/>
      <family val="3"/>
      <charset val="134"/>
    </font>
    <font>
      <sz val="11"/>
      <color rgb="FF000000"/>
      <name val="黑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00A3F5"/>
      </patternFill>
    </fill>
    <fill>
      <patternFill patternType="solid">
        <fgColor rgb="FF92D050"/>
      </patternFill>
    </fill>
    <fill>
      <patternFill patternType="solid">
        <f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>
      <alignment vertical="center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0" borderId="5" xfId="0" applyFont="1" applyBorder="1" applyAlignment="1">
      <alignment horizontal="right" vertical="center" wrapText="1"/>
    </xf>
    <xf numFmtId="0" fontId="3" fillId="0" borderId="2" xfId="0" applyFont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2" fillId="0" borderId="6" xfId="0" applyFont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空表"/>
  <dimension ref="A1:R25"/>
  <sheetViews>
    <sheetView tabSelected="1" topLeftCell="A7" workbookViewId="0">
      <selection activeCell="H15" sqref="H15"/>
    </sheetView>
  </sheetViews>
  <sheetFormatPr defaultColWidth="14.15234375" defaultRowHeight="18" customHeight="1"/>
  <cols>
    <col min="1" max="1" width="12.23046875" style="1" customWidth="1"/>
    <col min="2" max="2" width="19.921875" style="1" customWidth="1"/>
    <col min="3" max="3" width="12.53515625" style="1" customWidth="1"/>
    <col min="4" max="4" width="49.07421875" style="1" customWidth="1"/>
    <col min="5" max="5" width="12.69140625" style="1" customWidth="1"/>
    <col min="6" max="8" width="8.921875" style="1" customWidth="1"/>
    <col min="9" max="18" width="13.69140625" style="1"/>
    <col min="19" max="16384" width="14.15234375" style="3"/>
  </cols>
  <sheetData>
    <row r="1" spans="2:5" ht="59" customHeight="1">
      <c r="B1" s="2" t="s">
        <v>0</v>
      </c>
      <c r="C1" s="2" t="s">
        <v>39</v>
      </c>
      <c r="D1" s="2" t="s">
        <v>41</v>
      </c>
    </row>
    <row r="2" spans="2:5" ht="14">
      <c r="B2" s="4"/>
      <c r="C2" s="5"/>
      <c r="D2" s="4"/>
    </row>
    <row r="3" spans="2:5" ht="28">
      <c r="B3" s="6" t="s">
        <v>1</v>
      </c>
      <c r="C3" s="7"/>
      <c r="D3" s="6" t="s">
        <v>38</v>
      </c>
    </row>
    <row r="4" spans="2:5" ht="14">
      <c r="B4" s="4" t="s">
        <v>2</v>
      </c>
      <c r="C4" s="8">
        <f>C10+(C8/2)-(C9/2)</f>
        <v>0</v>
      </c>
      <c r="D4" s="4" t="s">
        <v>3</v>
      </c>
    </row>
    <row r="5" spans="2:5" ht="20.25" customHeight="1">
      <c r="B5" s="4" t="s">
        <v>4</v>
      </c>
      <c r="C5" s="8">
        <f>SUM(C12:C23)</f>
        <v>0</v>
      </c>
      <c r="D5" s="4" t="s">
        <v>3</v>
      </c>
    </row>
    <row r="6" spans="2:5" ht="20.25" customHeight="1">
      <c r="B6" s="4" t="s">
        <v>5</v>
      </c>
      <c r="C6" s="8" t="e">
        <f>C5/C11/C4</f>
        <v>#DIV/0!</v>
      </c>
      <c r="D6" s="4" t="s">
        <v>3</v>
      </c>
    </row>
    <row r="7" spans="2:5" ht="20.25" customHeight="1">
      <c r="B7" s="4"/>
      <c r="C7" s="4"/>
      <c r="D7" s="9" t="s">
        <v>6</v>
      </c>
      <c r="E7" s="4" t="s">
        <v>7</v>
      </c>
    </row>
    <row r="8" spans="2:5" ht="35.25" customHeight="1">
      <c r="B8" s="10" t="s">
        <v>8</v>
      </c>
      <c r="C8" s="11"/>
      <c r="D8" s="12" t="s">
        <v>9</v>
      </c>
      <c r="E8" s="4"/>
    </row>
    <row r="9" spans="2:5" ht="30" customHeight="1">
      <c r="B9" s="13" t="s">
        <v>10</v>
      </c>
      <c r="C9" s="14"/>
      <c r="D9" s="12" t="s">
        <v>11</v>
      </c>
      <c r="E9" s="4"/>
    </row>
    <row r="10" spans="2:5" ht="29.25" customHeight="1">
      <c r="B10" s="13" t="s">
        <v>12</v>
      </c>
      <c r="C10" s="14"/>
      <c r="D10" s="12" t="s">
        <v>13</v>
      </c>
      <c r="E10" s="4"/>
    </row>
    <row r="11" spans="2:5" ht="20.25" customHeight="1">
      <c r="B11" s="13" t="s">
        <v>14</v>
      </c>
      <c r="C11" s="4"/>
      <c r="D11" s="12" t="s">
        <v>15</v>
      </c>
      <c r="E11" s="4"/>
    </row>
    <row r="12" spans="2:5" ht="32.25" customHeight="1">
      <c r="B12" s="13" t="s">
        <v>16</v>
      </c>
      <c r="C12" s="4"/>
      <c r="D12" s="12" t="s">
        <v>17</v>
      </c>
      <c r="E12" s="4"/>
    </row>
    <row r="13" spans="2:5" ht="89.25" customHeight="1">
      <c r="B13" s="13" t="s">
        <v>18</v>
      </c>
      <c r="C13" s="4"/>
      <c r="D13" s="12" t="s">
        <v>19</v>
      </c>
      <c r="E13" s="4"/>
    </row>
    <row r="14" spans="2:5" ht="81" customHeight="1">
      <c r="B14" s="13" t="s">
        <v>20</v>
      </c>
      <c r="C14" s="4"/>
      <c r="D14" s="12" t="s">
        <v>21</v>
      </c>
      <c r="E14" s="4"/>
    </row>
    <row r="15" spans="2:5" ht="72" customHeight="1">
      <c r="B15" s="13" t="s">
        <v>22</v>
      </c>
      <c r="C15" s="4"/>
      <c r="D15" s="12" t="s">
        <v>42</v>
      </c>
      <c r="E15" s="4"/>
    </row>
    <row r="16" spans="2:5" ht="78.75" customHeight="1">
      <c r="B16" s="15" t="s">
        <v>23</v>
      </c>
      <c r="C16" s="6"/>
      <c r="D16" s="18" t="s">
        <v>24</v>
      </c>
    </row>
    <row r="17" spans="2:4" ht="56">
      <c r="B17" s="16" t="s">
        <v>25</v>
      </c>
      <c r="C17" s="4"/>
      <c r="D17" s="9" t="s">
        <v>26</v>
      </c>
    </row>
    <row r="18" spans="2:4" ht="42">
      <c r="B18" s="16" t="s">
        <v>27</v>
      </c>
      <c r="C18" s="4"/>
      <c r="D18" s="9" t="s">
        <v>28</v>
      </c>
    </row>
    <row r="19" spans="2:4" ht="56">
      <c r="B19" s="16" t="s">
        <v>29</v>
      </c>
      <c r="C19" s="4"/>
      <c r="D19" s="9" t="s">
        <v>30</v>
      </c>
    </row>
    <row r="20" spans="2:4" ht="56">
      <c r="B20" s="17" t="s">
        <v>31</v>
      </c>
      <c r="C20" s="4"/>
      <c r="D20" s="9" t="s">
        <v>32</v>
      </c>
    </row>
    <row r="21" spans="2:4" ht="126">
      <c r="B21" s="16" t="s">
        <v>33</v>
      </c>
      <c r="C21" s="4"/>
      <c r="D21" s="9" t="s">
        <v>34</v>
      </c>
    </row>
    <row r="22" spans="2:4" ht="52.5" customHeight="1">
      <c r="B22" s="16" t="s">
        <v>35</v>
      </c>
      <c r="C22" s="4"/>
      <c r="D22" s="9" t="s">
        <v>40</v>
      </c>
    </row>
    <row r="23" spans="2:4" ht="28">
      <c r="B23" s="16" t="s">
        <v>36</v>
      </c>
      <c r="C23" s="4"/>
      <c r="D23" s="9" t="s">
        <v>37</v>
      </c>
    </row>
    <row r="24" spans="2:4" ht="20.25" customHeight="1"/>
    <row r="25" spans="2:4" ht="14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空表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‍‎‍‎时光 ‍‎聿</cp:lastModifiedBy>
  <dcterms:created xsi:type="dcterms:W3CDTF">2026-01-30T19:57:16Z</dcterms:created>
  <dcterms:modified xsi:type="dcterms:W3CDTF">2026-01-30T12:01:55Z</dcterms:modified>
</cp:coreProperties>
</file>